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ets\Documents\Personal e.g. Budget-Schedule\Finansies 2.0\"/>
    </mc:Choice>
  </mc:AlternateContent>
  <xr:revisionPtr revIDLastSave="0" documentId="13_ncr:1_{C54CFAA9-9F12-4336-829C-FD1AFD1D9824}" xr6:coauthVersionLast="46" xr6:coauthVersionMax="46" xr10:uidLastSave="{00000000-0000-0000-0000-000000000000}"/>
  <bookViews>
    <workbookView xWindow="-108" yWindow="-108" windowWidth="23256" windowHeight="12576" tabRatio="818" xr2:uid="{41F024E6-53F7-418B-99D3-53CEEEA69243}"/>
  </bookViews>
  <sheets>
    <sheet name="Main" sheetId="1" r:id="rId1"/>
    <sheet name="Accomodation" sheetId="16" r:id="rId2"/>
    <sheet name="Food" sheetId="3" r:id="rId3"/>
    <sheet name="Consumables" sheetId="11" r:id="rId4"/>
    <sheet name="Banking" sheetId="9" r:id="rId5"/>
    <sheet name="Phone and Data" sheetId="8" r:id="rId6"/>
    <sheet name="Transport" sheetId="6" r:id="rId7"/>
    <sheet name="Entertainment" sheetId="12" r:id="rId8"/>
    <sheet name="Admin &amp; Uni" sheetId="7" r:id="rId9"/>
    <sheet name="Toiletries" sheetId="4" r:id="rId10"/>
    <sheet name="Laundry" sheetId="13" r:id="rId11"/>
    <sheet name="Education" sheetId="5" r:id="rId12"/>
    <sheet name="Clothes" sheetId="18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6" l="1"/>
  <c r="B28" i="1" l="1"/>
  <c r="D8" i="1" l="1"/>
  <c r="C24" i="1" l="1"/>
  <c r="C3" i="18" l="1"/>
  <c r="B12" i="1" s="1"/>
  <c r="D12" i="1" s="1"/>
  <c r="C3" i="3" l="1"/>
  <c r="C3" i="16"/>
  <c r="B5" i="1" s="1"/>
  <c r="D5" i="1" s="1"/>
  <c r="B11" i="1" l="1"/>
  <c r="D11" i="1" s="1"/>
  <c r="C3" i="13" l="1"/>
  <c r="B3" i="1"/>
  <c r="D3" i="1" s="1"/>
  <c r="C3" i="7"/>
  <c r="C3" i="12"/>
  <c r="B4" i="1"/>
  <c r="D4" i="1" s="1"/>
  <c r="C3" i="8"/>
  <c r="C3" i="9"/>
  <c r="B8" i="1" s="1"/>
  <c r="B9" i="1"/>
  <c r="D9" i="1" s="1"/>
  <c r="C3" i="5"/>
  <c r="B13" i="1"/>
  <c r="D13" i="1" s="1"/>
  <c r="B10" i="1"/>
  <c r="D10" i="1" s="1"/>
  <c r="B7" i="1"/>
  <c r="D7" i="1" s="1"/>
  <c r="B6" i="1"/>
  <c r="D6" i="1" s="1"/>
  <c r="D14" i="1" l="1"/>
  <c r="B2" i="1"/>
  <c r="D2" i="1" s="1"/>
  <c r="B14" i="1" l="1"/>
  <c r="C12" i="1" s="1"/>
  <c r="B16" i="1"/>
  <c r="B18" i="1"/>
  <c r="B17" i="1"/>
  <c r="C8" i="1" l="1"/>
  <c r="C11" i="1"/>
  <c r="C9" i="1"/>
  <c r="C2" i="1"/>
  <c r="C3" i="1"/>
  <c r="C6" i="1"/>
  <c r="C13" i="1"/>
  <c r="C10" i="1"/>
  <c r="C5" i="1"/>
  <c r="C21" i="1" s="1"/>
  <c r="C7" i="1"/>
  <c r="C4" i="1"/>
  <c r="C14" i="1" l="1"/>
</calcChain>
</file>

<file path=xl/sharedStrings.xml><?xml version="1.0" encoding="utf-8"?>
<sst xmlns="http://schemas.openxmlformats.org/spreadsheetml/2006/main" count="93" uniqueCount="36">
  <si>
    <t>Category</t>
  </si>
  <si>
    <t>Total</t>
  </si>
  <si>
    <t>Expense</t>
  </si>
  <si>
    <t>Food</t>
  </si>
  <si>
    <t>Toiletries</t>
  </si>
  <si>
    <t>Transport</t>
  </si>
  <si>
    <t>Date</t>
  </si>
  <si>
    <t>Amount</t>
  </si>
  <si>
    <t>Accomodation</t>
  </si>
  <si>
    <t>Notes</t>
  </si>
  <si>
    <t>Phone and Data</t>
  </si>
  <si>
    <t>Phone And Data</t>
  </si>
  <si>
    <t>Banking</t>
  </si>
  <si>
    <t>Smallest Expense</t>
  </si>
  <si>
    <t>Largest Expense</t>
  </si>
  <si>
    <t>Average Expense</t>
  </si>
  <si>
    <t>Percentages</t>
  </si>
  <si>
    <t>Entertainment</t>
  </si>
  <si>
    <t>Per Day Amount</t>
  </si>
  <si>
    <t>Laundry</t>
  </si>
  <si>
    <t>FOOD</t>
  </si>
  <si>
    <t>Admin and University</t>
  </si>
  <si>
    <t>Education</t>
  </si>
  <si>
    <t>Attribute</t>
  </si>
  <si>
    <t>Value</t>
  </si>
  <si>
    <t>Stationary</t>
  </si>
  <si>
    <t>Consumables</t>
  </si>
  <si>
    <t>Amount Euro</t>
  </si>
  <si>
    <t>Amount Rand</t>
  </si>
  <si>
    <t>Days Left</t>
  </si>
  <si>
    <t>Clothes</t>
  </si>
  <si>
    <t>Exchange Rate</t>
  </si>
  <si>
    <t>Infinite</t>
  </si>
  <si>
    <t>Total (Euro)</t>
  </si>
  <si>
    <t>Start Date</t>
  </si>
  <si>
    <t>Days Ongoing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</si>
</sst>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.00\ [$€-427]"/>
    <numFmt numFmtId="165" formatCode="_-* #,##0.00\ [$€-427]_-;\-* #,##0.00\ [$€-427]_-;_-* &quot;-&quot;??\ [$€-427]_-;_-@_-"/>
    <numFmt numFmtId="166" formatCode="[$-F800]dddd\,\ mmmm\ dd\,\ yyyy"/>
    <numFmt numFmtId="167" formatCode="&quot;R&quot;#,##0.00"/>
    <numFmt numFmtId="168" formatCode="0.00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Aharoni"/>
      <charset val="177"/>
    </font>
    <font>
      <b/>
      <sz val="20"/>
      <color theme="1"/>
      <name val="Aharoni"/>
      <charset val="177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 Black"/>
      <family val="2"/>
    </font>
    <font>
      <b/>
      <sz val="20"/>
      <color theme="1"/>
      <name val="Aharoni"/>
      <charset val="177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rgb="FF003300"/>
      <name val="Calibri"/>
      <family val="2"/>
    </font>
    <font>
      <sz val="18"/>
      <color rgb="FFFF66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7D7D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3" fillId="9" borderId="1">
      <alignment horizontal="center" vertical="center"/>
    </xf>
  </cellStyleXfs>
  <cellXfs count="8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3" fillId="3" borderId="1" xfId="0" applyFont="1" applyFill="1" applyBorder="1" applyAlignment="1">
      <alignment horizontal="center" vertical="center"/>
    </xf>
    <xf numFmtId="0" fontId="3" fillId="0" borderId="0" xfId="0" applyFont="1"/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6" borderId="5" xfId="0" applyFill="1" applyBorder="1"/>
    <xf numFmtId="0" fontId="0" fillId="0" borderId="6" xfId="0" applyBorder="1"/>
    <xf numFmtId="0" fontId="3" fillId="0" borderId="0" xfId="0" applyFont="1" applyBorder="1"/>
    <xf numFmtId="166" fontId="0" fillId="0" borderId="0" xfId="0" applyNumberFormat="1"/>
    <xf numFmtId="166" fontId="0" fillId="0" borderId="0" xfId="0" applyNumberFormat="1" applyBorder="1"/>
    <xf numFmtId="164" fontId="0" fillId="0" borderId="0" xfId="0" applyNumberFormat="1" applyBorder="1"/>
    <xf numFmtId="43" fontId="0" fillId="0" borderId="0" xfId="1" applyFont="1" applyBorder="1"/>
    <xf numFmtId="165" fontId="0" fillId="0" borderId="0" xfId="0" applyNumberFormat="1" applyBorder="1"/>
    <xf numFmtId="165" fontId="0" fillId="0" borderId="0" xfId="0" applyNumberFormat="1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6" fontId="0" fillId="0" borderId="7" xfId="0" applyNumberFormat="1" applyBorder="1"/>
    <xf numFmtId="0" fontId="3" fillId="3" borderId="3" xfId="0" applyFont="1" applyFill="1" applyBorder="1" applyAlignment="1">
      <alignment horizontal="center" vertical="center"/>
    </xf>
    <xf numFmtId="0" fontId="0" fillId="6" borderId="8" xfId="0" applyFill="1" applyBorder="1"/>
    <xf numFmtId="0" fontId="0" fillId="6" borderId="9" xfId="0" applyFill="1" applyBorder="1"/>
    <xf numFmtId="0" fontId="3" fillId="0" borderId="0" xfId="0" applyFont="1" applyFill="1" applyBorder="1"/>
    <xf numFmtId="0" fontId="0" fillId="0" borderId="18" xfId="0" applyBorder="1"/>
    <xf numFmtId="166" fontId="0" fillId="0" borderId="19" xfId="0" applyNumberFormat="1" applyBorder="1"/>
    <xf numFmtId="0" fontId="0" fillId="0" borderId="20" xfId="0" applyBorder="1"/>
    <xf numFmtId="0" fontId="0" fillId="0" borderId="21" xfId="0" applyBorder="1"/>
    <xf numFmtId="166" fontId="0" fillId="0" borderId="0" xfId="0" applyNumberFormat="1" applyFill="1" applyBorder="1"/>
    <xf numFmtId="14" fontId="0" fillId="0" borderId="0" xfId="0" applyNumberFormat="1" applyFill="1" applyBorder="1"/>
    <xf numFmtId="0" fontId="0" fillId="10" borderId="1" xfId="0" applyFill="1" applyBorder="1"/>
    <xf numFmtId="166" fontId="0" fillId="0" borderId="10" xfId="0" applyNumberFormat="1" applyBorder="1"/>
    <xf numFmtId="0" fontId="3" fillId="0" borderId="17" xfId="0" applyFont="1" applyFill="1" applyBorder="1"/>
    <xf numFmtId="0" fontId="3" fillId="0" borderId="18" xfId="0" applyFont="1" applyBorder="1"/>
    <xf numFmtId="0" fontId="3" fillId="9" borderId="1" xfId="2">
      <alignment horizontal="center" vertical="center"/>
    </xf>
    <xf numFmtId="0" fontId="3" fillId="4" borderId="1" xfId="2" applyFill="1" applyBorder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7" fontId="7" fillId="0" borderId="27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43" fontId="6" fillId="0" borderId="14" xfId="1" applyFont="1" applyBorder="1"/>
    <xf numFmtId="10" fontId="6" fillId="0" borderId="13" xfId="1" applyNumberFormat="1" applyFont="1" applyFill="1" applyBorder="1"/>
    <xf numFmtId="43" fontId="6" fillId="0" borderId="25" xfId="0" applyNumberFormat="1" applyFont="1" applyBorder="1"/>
    <xf numFmtId="43" fontId="6" fillId="0" borderId="11" xfId="1" applyFont="1" applyBorder="1"/>
    <xf numFmtId="10" fontId="6" fillId="0" borderId="13" xfId="1" applyNumberFormat="1" applyFont="1" applyBorder="1"/>
    <xf numFmtId="43" fontId="6" fillId="0" borderId="16" xfId="1" applyFont="1" applyBorder="1"/>
    <xf numFmtId="10" fontId="6" fillId="0" borderId="15" xfId="1" applyNumberFormat="1" applyFont="1" applyBorder="1"/>
    <xf numFmtId="0" fontId="7" fillId="0" borderId="1" xfId="0" applyNumberFormat="1" applyFont="1" applyBorder="1" applyAlignment="1">
      <alignment horizontal="center" vertical="center"/>
    </xf>
    <xf numFmtId="168" fontId="7" fillId="0" borderId="1" xfId="0" applyNumberFormat="1" applyFont="1" applyBorder="1" applyAlignment="1">
      <alignment horizontal="center" vertical="center"/>
    </xf>
    <xf numFmtId="0" fontId="0" fillId="0" borderId="28" xfId="0" applyBorder="1"/>
    <xf numFmtId="164" fontId="0" fillId="0" borderId="29" xfId="0" applyNumberFormat="1" applyBorder="1"/>
    <xf numFmtId="166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65" fontId="9" fillId="10" borderId="3" xfId="0" applyNumberFormat="1" applyFont="1" applyFill="1" applyBorder="1"/>
    <xf numFmtId="2" fontId="9" fillId="10" borderId="3" xfId="0" applyNumberFormat="1" applyFont="1" applyFill="1" applyBorder="1"/>
    <xf numFmtId="165" fontId="9" fillId="8" borderId="0" xfId="0" applyNumberFormat="1" applyFont="1" applyFill="1" applyBorder="1"/>
    <xf numFmtId="0" fontId="10" fillId="7" borderId="0" xfId="0" applyFont="1" applyFill="1" applyBorder="1"/>
    <xf numFmtId="166" fontId="0" fillId="0" borderId="30" xfId="0" applyNumberFormat="1" applyBorder="1"/>
    <xf numFmtId="0" fontId="0" fillId="0" borderId="31" xfId="0" applyBorder="1"/>
    <xf numFmtId="0" fontId="0" fillId="0" borderId="7" xfId="0" applyBorder="1"/>
    <xf numFmtId="0" fontId="0" fillId="0" borderId="32" xfId="0" applyNumberFormat="1" applyBorder="1"/>
    <xf numFmtId="166" fontId="0" fillId="0" borderId="31" xfId="0" applyNumberFormat="1" applyBorder="1"/>
    <xf numFmtId="167" fontId="0" fillId="0" borderId="33" xfId="0" applyNumberFormat="1" applyBorder="1"/>
    <xf numFmtId="0" fontId="0" fillId="0" borderId="18" xfId="0" applyFill="1" applyBorder="1"/>
    <xf numFmtId="14" fontId="0" fillId="0" borderId="0" xfId="0" applyNumberFormat="1"/>
    <xf numFmtId="165" fontId="7" fillId="0" borderId="1" xfId="0" applyNumberFormat="1" applyFont="1" applyBorder="1" applyAlignment="1">
      <alignment horizontal="center" vertical="center"/>
    </xf>
    <xf numFmtId="165" fontId="0" fillId="0" borderId="33" xfId="0" applyNumberFormat="1" applyBorder="1"/>
    <xf numFmtId="0" fontId="0" fillId="0" borderId="35" xfId="0" applyNumberFormat="1" applyBorder="1"/>
    <xf numFmtId="0" fontId="5" fillId="2" borderId="36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166" fontId="0" fillId="0" borderId="34" xfId="0" applyNumberFormat="1" applyBorder="1"/>
    <xf numFmtId="165" fontId="0" fillId="10" borderId="3" xfId="0" applyNumberFormat="1" applyFill="1" applyBorder="1"/>
    <xf numFmtId="0" fontId="3" fillId="5" borderId="4" xfId="2" applyFill="1" applyBorder="1" applyAlignment="1">
      <alignment horizontal="center" vertical="center"/>
    </xf>
    <xf numFmtId="0" fontId="3" fillId="5" borderId="26" xfId="2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8" fillId="3" borderId="24" xfId="0" applyFont="1" applyFill="1" applyBorder="1" applyAlignment="1">
      <alignment horizontal="center" vertical="center"/>
    </xf>
  </cellXfs>
  <cellStyles count="3">
    <cellStyle name="Calculations" xfId="2" xr:uid="{7CF64D34-41E9-4E91-B66B-8EAA505C4212}"/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5.png"/><Relationship Id="rId18" Type="http://schemas.openxmlformats.org/officeDocument/2006/relationships/image" Target="../media/image20.sv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image" Target="../media/image19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16.svg"/><Relationship Id="rId22" Type="http://schemas.openxmlformats.org/officeDocument/2006/relationships/image" Target="../media/image2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svg"/><Relationship Id="rId1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svg"/><Relationship Id="rId1" Type="http://schemas.openxmlformats.org/officeDocument/2006/relationships/image" Target="../media/image2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931332</xdr:colOff>
      <xdr:row>3</xdr:row>
      <xdr:rowOff>166790</xdr:rowOff>
    </xdr:from>
    <xdr:to>
      <xdr:col>0</xdr:col>
      <xdr:colOff>1151467</xdr:colOff>
      <xdr:row>4</xdr:row>
      <xdr:rowOff>192192</xdr:rowOff>
    </xdr:to>
    <xdr:pic>
      <xdr:nvPicPr>
        <xdr:cNvPr id="2" name="Graphic 1" descr="Hous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1332" y="3248657"/>
          <a:ext cx="220135" cy="220135"/>
        </a:xfrm>
        <a:prstGeom prst="rect">
          <a:avLst/>
        </a:prstGeom>
      </xdr:spPr>
    </xdr:pic>
    <xdr:clientData/>
  </xdr:twoCellAnchor>
  <xdr:twoCellAnchor editAs="oneCell">
    <xdr:from>
      <xdr:col>0</xdr:col>
      <xdr:colOff>397934</xdr:colOff>
      <xdr:row>1</xdr:row>
      <xdr:rowOff>27093</xdr:rowOff>
    </xdr:from>
    <xdr:to>
      <xdr:col>0</xdr:col>
      <xdr:colOff>575734</xdr:colOff>
      <xdr:row>2</xdr:row>
      <xdr:rowOff>10160</xdr:rowOff>
    </xdr:to>
    <xdr:pic>
      <xdr:nvPicPr>
        <xdr:cNvPr id="3" name="Graphic 2" descr="Cor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121467" y="467360"/>
          <a:ext cx="177800" cy="177800"/>
        </a:xfrm>
        <a:prstGeom prst="rect">
          <a:avLst/>
        </a:prstGeom>
      </xdr:spPr>
    </xdr:pic>
    <xdr:clientData/>
  </xdr:twoCellAnchor>
  <xdr:twoCellAnchor editAs="oneCell">
    <xdr:from>
      <xdr:col>0</xdr:col>
      <xdr:colOff>618068</xdr:colOff>
      <xdr:row>2</xdr:row>
      <xdr:rowOff>24552</xdr:rowOff>
    </xdr:from>
    <xdr:to>
      <xdr:col>0</xdr:col>
      <xdr:colOff>804335</xdr:colOff>
      <xdr:row>3</xdr:row>
      <xdr:rowOff>16085</xdr:rowOff>
    </xdr:to>
    <xdr:pic>
      <xdr:nvPicPr>
        <xdr:cNvPr id="4" name="Graphic 3" descr="Showe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8068" y="2920152"/>
          <a:ext cx="186267" cy="186267"/>
        </a:xfrm>
        <a:prstGeom prst="rect">
          <a:avLst/>
        </a:prstGeom>
      </xdr:spPr>
    </xdr:pic>
    <xdr:clientData/>
  </xdr:twoCellAnchor>
  <xdr:twoCellAnchor editAs="oneCell">
    <xdr:from>
      <xdr:col>0</xdr:col>
      <xdr:colOff>872066</xdr:colOff>
      <xdr:row>5</xdr:row>
      <xdr:rowOff>42333</xdr:rowOff>
    </xdr:from>
    <xdr:to>
      <xdr:col>0</xdr:col>
      <xdr:colOff>1034626</xdr:colOff>
      <xdr:row>6</xdr:row>
      <xdr:rowOff>10159</xdr:rowOff>
    </xdr:to>
    <xdr:pic>
      <xdr:nvPicPr>
        <xdr:cNvPr id="5" name="Graphic 4" descr="Documen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72066" y="1117600"/>
          <a:ext cx="162560" cy="162560"/>
        </a:xfrm>
        <a:prstGeom prst="rect">
          <a:avLst/>
        </a:prstGeom>
      </xdr:spPr>
    </xdr:pic>
    <xdr:clientData/>
  </xdr:twoCellAnchor>
  <xdr:twoCellAnchor editAs="oneCell">
    <xdr:from>
      <xdr:col>0</xdr:col>
      <xdr:colOff>668868</xdr:colOff>
      <xdr:row>3</xdr:row>
      <xdr:rowOff>12698</xdr:rowOff>
    </xdr:from>
    <xdr:to>
      <xdr:col>0</xdr:col>
      <xdr:colOff>914401</xdr:colOff>
      <xdr:row>4</xdr:row>
      <xdr:rowOff>63498</xdr:rowOff>
    </xdr:to>
    <xdr:pic>
      <xdr:nvPicPr>
        <xdr:cNvPr id="6" name="Graphic 5" descr="Bu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392401" y="833965"/>
          <a:ext cx="245533" cy="245533"/>
        </a:xfrm>
        <a:prstGeom prst="rect">
          <a:avLst/>
        </a:prstGeom>
      </xdr:spPr>
    </xdr:pic>
    <xdr:clientData/>
  </xdr:twoCellAnchor>
  <xdr:twoCellAnchor editAs="oneCell">
    <xdr:from>
      <xdr:col>0</xdr:col>
      <xdr:colOff>1007533</xdr:colOff>
      <xdr:row>5</xdr:row>
      <xdr:rowOff>152400</xdr:rowOff>
    </xdr:from>
    <xdr:to>
      <xdr:col>0</xdr:col>
      <xdr:colOff>1264073</xdr:colOff>
      <xdr:row>7</xdr:row>
      <xdr:rowOff>19473</xdr:rowOff>
    </xdr:to>
    <xdr:pic>
      <xdr:nvPicPr>
        <xdr:cNvPr id="7" name="Graphic 6" descr="Speaker Phon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731066" y="1346200"/>
          <a:ext cx="256540" cy="256540"/>
        </a:xfrm>
        <a:prstGeom prst="rect">
          <a:avLst/>
        </a:prstGeom>
      </xdr:spPr>
    </xdr:pic>
    <xdr:clientData/>
  </xdr:twoCellAnchor>
  <xdr:twoCellAnchor editAs="oneCell">
    <xdr:from>
      <xdr:col>0</xdr:col>
      <xdr:colOff>584201</xdr:colOff>
      <xdr:row>6</xdr:row>
      <xdr:rowOff>160866</xdr:rowOff>
    </xdr:from>
    <xdr:to>
      <xdr:col>0</xdr:col>
      <xdr:colOff>872914</xdr:colOff>
      <xdr:row>8</xdr:row>
      <xdr:rowOff>60113</xdr:rowOff>
    </xdr:to>
    <xdr:pic>
      <xdr:nvPicPr>
        <xdr:cNvPr id="8" name="Graphic 7" descr="Piggy Bank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4201" y="1422399"/>
          <a:ext cx="288713" cy="288713"/>
        </a:xfrm>
        <a:prstGeom prst="rect">
          <a:avLst/>
        </a:prstGeom>
      </xdr:spPr>
    </xdr:pic>
    <xdr:clientData/>
  </xdr:twoCellAnchor>
  <xdr:twoCellAnchor editAs="oneCell">
    <xdr:from>
      <xdr:col>0</xdr:col>
      <xdr:colOff>965200</xdr:colOff>
      <xdr:row>9</xdr:row>
      <xdr:rowOff>2539</xdr:rowOff>
    </xdr:from>
    <xdr:to>
      <xdr:col>0</xdr:col>
      <xdr:colOff>1159933</xdr:colOff>
      <xdr:row>10</xdr:row>
      <xdr:rowOff>2539</xdr:rowOff>
    </xdr:to>
    <xdr:pic>
      <xdr:nvPicPr>
        <xdr:cNvPr id="12" name="Graphic 11" descr="Popcorn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688733" y="1941406"/>
          <a:ext cx="194733" cy="194733"/>
        </a:xfrm>
        <a:prstGeom prst="rect">
          <a:avLst/>
        </a:prstGeom>
      </xdr:spPr>
    </xdr:pic>
    <xdr:clientData/>
  </xdr:twoCellAnchor>
  <xdr:twoCellAnchor editAs="oneCell">
    <xdr:from>
      <xdr:col>0</xdr:col>
      <xdr:colOff>660400</xdr:colOff>
      <xdr:row>12</xdr:row>
      <xdr:rowOff>8466</xdr:rowOff>
    </xdr:from>
    <xdr:to>
      <xdr:col>0</xdr:col>
      <xdr:colOff>866987</xdr:colOff>
      <xdr:row>13</xdr:row>
      <xdr:rowOff>11853</xdr:rowOff>
    </xdr:to>
    <xdr:pic>
      <xdr:nvPicPr>
        <xdr:cNvPr id="15" name="Graphic 14" descr="Safe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60400" y="4394199"/>
          <a:ext cx="206587" cy="206587"/>
        </a:xfrm>
        <a:prstGeom prst="rect">
          <a:avLst/>
        </a:prstGeom>
      </xdr:spPr>
    </xdr:pic>
    <xdr:clientData/>
  </xdr:twoCellAnchor>
  <xdr:twoCellAnchor editAs="oneCell">
    <xdr:from>
      <xdr:col>0</xdr:col>
      <xdr:colOff>728133</xdr:colOff>
      <xdr:row>9</xdr:row>
      <xdr:rowOff>140545</xdr:rowOff>
    </xdr:from>
    <xdr:to>
      <xdr:col>0</xdr:col>
      <xdr:colOff>1016000</xdr:colOff>
      <xdr:row>11</xdr:row>
      <xdr:rowOff>38946</xdr:rowOff>
    </xdr:to>
    <xdr:pic>
      <xdr:nvPicPr>
        <xdr:cNvPr id="17" name="Graphic 16" descr="Diploma ro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728133" y="4272278"/>
          <a:ext cx="287867" cy="287867"/>
        </a:xfrm>
        <a:prstGeom prst="rect">
          <a:avLst/>
        </a:prstGeom>
      </xdr:spPr>
    </xdr:pic>
    <xdr:clientData/>
  </xdr:twoCellAnchor>
  <xdr:twoCellAnchor editAs="oneCell">
    <xdr:from>
      <xdr:col>0</xdr:col>
      <xdr:colOff>880533</xdr:colOff>
      <xdr:row>7</xdr:row>
      <xdr:rowOff>161712</xdr:rowOff>
    </xdr:from>
    <xdr:to>
      <xdr:col>0</xdr:col>
      <xdr:colOff>1100666</xdr:colOff>
      <xdr:row>8</xdr:row>
      <xdr:rowOff>187112</xdr:rowOff>
    </xdr:to>
    <xdr:pic>
      <xdr:nvPicPr>
        <xdr:cNvPr id="20" name="Graphic 19" descr="Mop and bucket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80533" y="1609512"/>
          <a:ext cx="220133" cy="2201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22</xdr:row>
          <xdr:rowOff>83820</xdr:rowOff>
        </xdr:from>
        <xdr:to>
          <xdr:col>3</xdr:col>
          <xdr:colOff>2186940</xdr:colOff>
          <xdr:row>23</xdr:row>
          <xdr:rowOff>243840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endParaRPr lang="en-ZA" sz="1600" b="1" i="0" u="none" strike="noStrike" baseline="0">
                <a:solidFill>
                  <a:srgbClr val="0033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23</xdr:row>
          <xdr:rowOff>15240</xdr:rowOff>
        </xdr:from>
        <xdr:to>
          <xdr:col>0</xdr:col>
          <xdr:colOff>2446020</xdr:colOff>
          <xdr:row>24</xdr:row>
          <xdr:rowOff>0</xdr:rowOff>
        </xdr:to>
        <xdr:sp macro="" textlink="">
          <xdr:nvSpPr>
            <xdr:cNvPr id="1030" name="Spin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2110740</xdr:colOff>
          <xdr:row>23</xdr:row>
          <xdr:rowOff>22860</xdr:rowOff>
        </xdr:from>
        <xdr:to>
          <xdr:col>2</xdr:col>
          <xdr:colOff>7620</xdr:colOff>
          <xdr:row>24</xdr:row>
          <xdr:rowOff>0</xdr:rowOff>
        </xdr:to>
        <xdr:sp macro="" textlink="">
          <xdr:nvSpPr>
            <xdr:cNvPr id="1031" name="Spin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533399</xdr:colOff>
      <xdr:row>10</xdr:row>
      <xdr:rowOff>194732</xdr:rowOff>
    </xdr:from>
    <xdr:to>
      <xdr:col>0</xdr:col>
      <xdr:colOff>749296</xdr:colOff>
      <xdr:row>12</xdr:row>
      <xdr:rowOff>21162</xdr:rowOff>
    </xdr:to>
    <xdr:pic>
      <xdr:nvPicPr>
        <xdr:cNvPr id="26" name="Graphic 25" descr="Shirt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33399" y="2277532"/>
          <a:ext cx="215897" cy="215897"/>
        </a:xfrm>
        <a:prstGeom prst="rect">
          <a:avLst/>
        </a:prstGeom>
      </xdr:spPr>
    </xdr:pic>
    <xdr:clientData/>
  </xdr:twoCellAnchor>
  <xdr:twoCellAnchor>
    <xdr:from>
      <xdr:col>4</xdr:col>
      <xdr:colOff>728134</xdr:colOff>
      <xdr:row>3</xdr:row>
      <xdr:rowOff>93133</xdr:rowOff>
    </xdr:from>
    <xdr:to>
      <xdr:col>5</xdr:col>
      <xdr:colOff>1524000</xdr:colOff>
      <xdr:row>8</xdr:row>
      <xdr:rowOff>135467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143067" y="812800"/>
          <a:ext cx="2717800" cy="10160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899160</xdr:colOff>
          <xdr:row>4</xdr:row>
          <xdr:rowOff>38100</xdr:rowOff>
        </xdr:from>
        <xdr:to>
          <xdr:col>5</xdr:col>
          <xdr:colOff>1386840</xdr:colOff>
          <xdr:row>7</xdr:row>
          <xdr:rowOff>182880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ZA" sz="18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1127760</xdr:colOff>
      <xdr:row>0</xdr:row>
      <xdr:rowOff>53340</xdr:rowOff>
    </xdr:from>
    <xdr:to>
      <xdr:col>1</xdr:col>
      <xdr:colOff>1347895</xdr:colOff>
      <xdr:row>0</xdr:row>
      <xdr:rowOff>273475</xdr:rowOff>
    </xdr:to>
    <xdr:pic>
      <xdr:nvPicPr>
        <xdr:cNvPr id="3" name="Graphic 2" descr="Hous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26080" y="53340"/>
          <a:ext cx="220135" cy="220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1005840</xdr:colOff>
      <xdr:row>0</xdr:row>
      <xdr:rowOff>38100</xdr:rowOff>
    </xdr:from>
    <xdr:ext cx="289560" cy="289560"/>
    <xdr:pic>
      <xdr:nvPicPr>
        <xdr:cNvPr id="3" name="Graphic 2" descr="Cor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04160" y="38100"/>
          <a:ext cx="289560" cy="28956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1264920</xdr:colOff>
      <xdr:row>0</xdr:row>
      <xdr:rowOff>15240</xdr:rowOff>
    </xdr:from>
    <xdr:to>
      <xdr:col>1</xdr:col>
      <xdr:colOff>1562100</xdr:colOff>
      <xdr:row>0</xdr:row>
      <xdr:rowOff>312420</xdr:rowOff>
    </xdr:to>
    <xdr:pic>
      <xdr:nvPicPr>
        <xdr:cNvPr id="4" name="Graphic 3" descr="Mop and bucke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59380" y="15240"/>
          <a:ext cx="297180" cy="2971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1272540</xdr:colOff>
      <xdr:row>0</xdr:row>
      <xdr:rowOff>0</xdr:rowOff>
    </xdr:from>
    <xdr:to>
      <xdr:col>1</xdr:col>
      <xdr:colOff>1645920</xdr:colOff>
      <xdr:row>1</xdr:row>
      <xdr:rowOff>45720</xdr:rowOff>
    </xdr:to>
    <xdr:pic>
      <xdr:nvPicPr>
        <xdr:cNvPr id="3" name="Graphic 2" descr="Piggy Bank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86000" y="0"/>
          <a:ext cx="373380" cy="3733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1325880</xdr:colOff>
      <xdr:row>0</xdr:row>
      <xdr:rowOff>0</xdr:rowOff>
    </xdr:from>
    <xdr:to>
      <xdr:col>1</xdr:col>
      <xdr:colOff>1684020</xdr:colOff>
      <xdr:row>1</xdr:row>
      <xdr:rowOff>30480</xdr:rowOff>
    </xdr:to>
    <xdr:pic>
      <xdr:nvPicPr>
        <xdr:cNvPr id="3" name="Graphic 2" descr="Speaker Phon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83180" y="0"/>
          <a:ext cx="358140" cy="3581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998220</xdr:colOff>
      <xdr:row>0</xdr:row>
      <xdr:rowOff>0</xdr:rowOff>
    </xdr:from>
    <xdr:to>
      <xdr:col>1</xdr:col>
      <xdr:colOff>1417320</xdr:colOff>
      <xdr:row>1</xdr:row>
      <xdr:rowOff>91440</xdr:rowOff>
    </xdr:to>
    <xdr:pic>
      <xdr:nvPicPr>
        <xdr:cNvPr id="3" name="Graphic 2" descr="Bus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65020" y="0"/>
          <a:ext cx="419100" cy="4191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1104900</xdr:colOff>
      <xdr:row>0</xdr:row>
      <xdr:rowOff>0</xdr:rowOff>
    </xdr:from>
    <xdr:to>
      <xdr:col>1</xdr:col>
      <xdr:colOff>1463040</xdr:colOff>
      <xdr:row>1</xdr:row>
      <xdr:rowOff>30480</xdr:rowOff>
    </xdr:to>
    <xdr:pic>
      <xdr:nvPicPr>
        <xdr:cNvPr id="4" name="Graphic 3" descr="Popcor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0" y="0"/>
          <a:ext cx="358140" cy="3581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1386840</xdr:colOff>
      <xdr:row>0</xdr:row>
      <xdr:rowOff>22860</xdr:rowOff>
    </xdr:from>
    <xdr:to>
      <xdr:col>2</xdr:col>
      <xdr:colOff>0</xdr:colOff>
      <xdr:row>0</xdr:row>
      <xdr:rowOff>312420</xdr:rowOff>
    </xdr:to>
    <xdr:pic>
      <xdr:nvPicPr>
        <xdr:cNvPr id="3" name="Graphic 2" descr="Document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10840" y="22860"/>
          <a:ext cx="289560" cy="2895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1226820</xdr:colOff>
      <xdr:row>0</xdr:row>
      <xdr:rowOff>0</xdr:rowOff>
    </xdr:from>
    <xdr:to>
      <xdr:col>1</xdr:col>
      <xdr:colOff>1539240</xdr:colOff>
      <xdr:row>0</xdr:row>
      <xdr:rowOff>312420</xdr:rowOff>
    </xdr:to>
    <xdr:pic>
      <xdr:nvPicPr>
        <xdr:cNvPr id="3" name="Graphic 2" descr="Shower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98420" y="0"/>
          <a:ext cx="312420" cy="31242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297180</xdr:colOff>
      <xdr:row>0</xdr:row>
      <xdr:rowOff>0</xdr:rowOff>
    </xdr:from>
    <xdr:to>
      <xdr:col>1</xdr:col>
      <xdr:colOff>647700</xdr:colOff>
      <xdr:row>1</xdr:row>
      <xdr:rowOff>22860</xdr:rowOff>
    </xdr:to>
    <xdr:pic>
      <xdr:nvPicPr>
        <xdr:cNvPr id="4" name="Graphic 3" descr="Saf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6480" y="0"/>
          <a:ext cx="350520" cy="35052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891540</xdr:colOff>
      <xdr:row>0</xdr:row>
      <xdr:rowOff>0</xdr:rowOff>
    </xdr:from>
    <xdr:to>
      <xdr:col>1</xdr:col>
      <xdr:colOff>1379220</xdr:colOff>
      <xdr:row>1</xdr:row>
      <xdr:rowOff>99060</xdr:rowOff>
    </xdr:to>
    <xdr:pic>
      <xdr:nvPicPr>
        <xdr:cNvPr id="4" name="Graphic 3" descr="Diploma roll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37460" y="0"/>
          <a:ext cx="487680" cy="48768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518160</xdr:colOff>
      <xdr:row>0</xdr:row>
      <xdr:rowOff>60960</xdr:rowOff>
    </xdr:from>
    <xdr:to>
      <xdr:col>1</xdr:col>
      <xdr:colOff>754380</xdr:colOff>
      <xdr:row>0</xdr:row>
      <xdr:rowOff>297180</xdr:rowOff>
    </xdr:to>
    <xdr:pic>
      <xdr:nvPicPr>
        <xdr:cNvPr id="4" name="Graphic 3" descr="Shirt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6480" y="60960"/>
          <a:ext cx="236220" cy="2362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8E72A-D8C5-403A-AFD9-9F3F2511A7C5}">
  <sheetPr codeName="Sheet1">
    <tabColor theme="7" tint="-0.249977111117893"/>
    <pageSetUpPr fitToPage="1"/>
  </sheetPr>
  <dimension ref="A1:T29"/>
  <sheetViews>
    <sheetView tabSelected="1" zoomScale="90" zoomScaleNormal="90" workbookViewId="0">
      <selection activeCell="G13" sqref="G13"/>
    </sheetView>
  </sheetViews>
  <sheetFormatPr defaultRowHeight="14.4" x14ac:dyDescent="0.3"/>
  <cols>
    <col min="1" max="1" width="35.88671875" style="1" customWidth="1"/>
    <col min="2" max="3" width="34.33203125" style="12" customWidth="1"/>
    <col min="4" max="4" width="32.6640625" style="12" customWidth="1"/>
    <col min="5" max="6" width="28" style="1" customWidth="1"/>
    <col min="7" max="7" width="26" customWidth="1"/>
    <col min="8" max="8" width="28.44140625" style="2" customWidth="1"/>
    <col min="9" max="9" width="22" style="14" customWidth="1"/>
    <col min="10" max="10" width="23.77734375" style="14" customWidth="1"/>
    <col min="11" max="11" width="31.6640625" style="13" customWidth="1"/>
    <col min="12" max="12" width="21.77734375" style="14" customWidth="1"/>
    <col min="13" max="14" width="21.77734375" style="1" customWidth="1"/>
    <col min="15" max="15" width="18" customWidth="1"/>
    <col min="16" max="16" width="22.77734375" style="2" customWidth="1"/>
    <col min="17" max="17" width="17.44140625" style="2" customWidth="1"/>
    <col min="18" max="18" width="15.88671875" style="2" customWidth="1"/>
    <col min="19" max="19" width="18.33203125" style="2" customWidth="1"/>
    <col min="20" max="20" width="29" style="2" customWidth="1"/>
  </cols>
  <sheetData>
    <row r="1" spans="1:20" ht="25.8" thickBot="1" x14ac:dyDescent="0.35">
      <c r="A1" s="20" t="s">
        <v>0</v>
      </c>
      <c r="B1" s="3" t="s">
        <v>7</v>
      </c>
      <c r="C1" s="3" t="s">
        <v>16</v>
      </c>
      <c r="D1" s="3" t="s">
        <v>18</v>
      </c>
      <c r="O1" s="1"/>
      <c r="Q1" s="15"/>
      <c r="R1" s="15"/>
      <c r="S1" s="15"/>
      <c r="T1" s="15"/>
    </row>
    <row r="2" spans="1:20" ht="15.6" x14ac:dyDescent="0.3">
      <c r="A2" s="21" t="s">
        <v>3</v>
      </c>
      <c r="B2" s="39">
        <f>Food!C3</f>
        <v>0</v>
      </c>
      <c r="C2" s="40" t="e">
        <f t="shared" ref="C2:C13" si="0">B2/$B$14</f>
        <v>#DIV/0!</v>
      </c>
      <c r="D2" s="41">
        <f>B2/30</f>
        <v>0</v>
      </c>
      <c r="I2" s="13"/>
      <c r="J2" s="13"/>
      <c r="O2" s="1"/>
      <c r="Q2" s="15"/>
      <c r="R2" s="15"/>
      <c r="S2" s="15"/>
      <c r="T2" s="15"/>
    </row>
    <row r="3" spans="1:20" ht="15.6" x14ac:dyDescent="0.3">
      <c r="A3" s="22" t="s">
        <v>4</v>
      </c>
      <c r="B3" s="42">
        <f>Toiletries!C3</f>
        <v>0</v>
      </c>
      <c r="C3" s="43" t="e">
        <f t="shared" si="0"/>
        <v>#DIV/0!</v>
      </c>
      <c r="D3" s="41">
        <f t="shared" ref="D3:D13" si="1">B3/30</f>
        <v>0</v>
      </c>
      <c r="E3" s="14"/>
      <c r="I3" s="13"/>
      <c r="J3" s="13"/>
      <c r="Q3" s="15"/>
      <c r="R3" s="15"/>
      <c r="S3" s="15"/>
      <c r="T3" s="15"/>
    </row>
    <row r="4" spans="1:20" ht="15.6" x14ac:dyDescent="0.3">
      <c r="A4" s="22" t="s">
        <v>5</v>
      </c>
      <c r="B4" s="42">
        <f>Transport!C3</f>
        <v>0</v>
      </c>
      <c r="C4" s="43" t="e">
        <f t="shared" si="0"/>
        <v>#DIV/0!</v>
      </c>
      <c r="D4" s="41">
        <f t="shared" si="1"/>
        <v>0</v>
      </c>
      <c r="E4" s="14"/>
      <c r="I4" s="13"/>
      <c r="J4" s="13"/>
      <c r="Q4" s="15"/>
      <c r="R4" s="15"/>
      <c r="S4" s="15"/>
      <c r="T4" s="15"/>
    </row>
    <row r="5" spans="1:20" ht="15.6" x14ac:dyDescent="0.3">
      <c r="A5" s="22" t="s">
        <v>8</v>
      </c>
      <c r="B5" s="42">
        <f>Accomodation!C3</f>
        <v>0</v>
      </c>
      <c r="C5" s="43" t="e">
        <f t="shared" si="0"/>
        <v>#DIV/0!</v>
      </c>
      <c r="D5" s="41">
        <f t="shared" si="1"/>
        <v>0</v>
      </c>
      <c r="E5" s="14"/>
      <c r="G5" s="1"/>
      <c r="I5" s="13"/>
      <c r="J5" s="13"/>
      <c r="Q5" s="15"/>
      <c r="R5" s="15"/>
      <c r="S5" s="15"/>
      <c r="T5" s="15"/>
    </row>
    <row r="6" spans="1:20" ht="15.6" x14ac:dyDescent="0.3">
      <c r="A6" s="7" t="s">
        <v>25</v>
      </c>
      <c r="B6" s="42">
        <f>'Admin &amp; Uni'!C3</f>
        <v>0</v>
      </c>
      <c r="C6" s="43" t="e">
        <f t="shared" si="0"/>
        <v>#DIV/0!</v>
      </c>
      <c r="D6" s="41">
        <f t="shared" si="1"/>
        <v>0</v>
      </c>
      <c r="E6" s="14"/>
      <c r="G6" s="1"/>
      <c r="I6" s="13"/>
      <c r="J6" s="13"/>
      <c r="Q6" s="15"/>
      <c r="R6" s="15"/>
      <c r="S6" s="15"/>
      <c r="T6" s="15"/>
    </row>
    <row r="7" spans="1:20" ht="15.6" x14ac:dyDescent="0.3">
      <c r="A7" s="7" t="s">
        <v>11</v>
      </c>
      <c r="B7" s="42">
        <f>'Phone and Data'!C3</f>
        <v>0</v>
      </c>
      <c r="C7" s="43" t="e">
        <f t="shared" si="0"/>
        <v>#DIV/0!</v>
      </c>
      <c r="D7" s="41">
        <f t="shared" si="1"/>
        <v>0</v>
      </c>
      <c r="E7" s="14"/>
      <c r="G7" s="1"/>
      <c r="I7" s="13"/>
      <c r="J7" s="13"/>
      <c r="Q7" s="15"/>
      <c r="R7" s="15"/>
      <c r="S7" s="15"/>
      <c r="T7" s="15"/>
    </row>
    <row r="8" spans="1:20" ht="15.6" x14ac:dyDescent="0.3">
      <c r="A8" s="7" t="s">
        <v>12</v>
      </c>
      <c r="B8" s="42">
        <f>Banking!C3</f>
        <v>0</v>
      </c>
      <c r="C8" s="43" t="e">
        <f t="shared" si="0"/>
        <v>#DIV/0!</v>
      </c>
      <c r="D8" s="41">
        <f t="shared" si="1"/>
        <v>0</v>
      </c>
      <c r="E8" s="14"/>
      <c r="G8" s="1"/>
      <c r="I8" s="13"/>
      <c r="J8" s="13"/>
      <c r="Q8" s="15"/>
      <c r="R8" s="15"/>
      <c r="S8" s="15"/>
      <c r="T8" s="15"/>
    </row>
    <row r="9" spans="1:20" ht="15.6" x14ac:dyDescent="0.3">
      <c r="A9" s="7" t="s">
        <v>26</v>
      </c>
      <c r="B9" s="42">
        <f>Consumables!C3</f>
        <v>0</v>
      </c>
      <c r="C9" s="43" t="e">
        <f t="shared" si="0"/>
        <v>#DIV/0!</v>
      </c>
      <c r="D9" s="41">
        <f t="shared" si="1"/>
        <v>0</v>
      </c>
      <c r="E9" s="14"/>
      <c r="G9" s="1"/>
      <c r="I9" s="13"/>
      <c r="J9" s="13"/>
      <c r="Q9" s="15"/>
      <c r="R9" s="15"/>
      <c r="S9" s="15"/>
      <c r="T9" s="15"/>
    </row>
    <row r="10" spans="1:20" ht="15.6" x14ac:dyDescent="0.3">
      <c r="A10" s="7" t="s">
        <v>17</v>
      </c>
      <c r="B10" s="42">
        <f>Entertainment!C3</f>
        <v>0</v>
      </c>
      <c r="C10" s="43" t="e">
        <f t="shared" si="0"/>
        <v>#DIV/0!</v>
      </c>
      <c r="D10" s="41">
        <f t="shared" si="1"/>
        <v>0</v>
      </c>
      <c r="E10" s="14"/>
      <c r="G10" s="1"/>
      <c r="I10" s="13"/>
      <c r="J10" s="13"/>
      <c r="Q10" s="15"/>
      <c r="R10" s="15"/>
      <c r="S10" s="15"/>
      <c r="T10" s="15"/>
    </row>
    <row r="11" spans="1:20" ht="15.6" x14ac:dyDescent="0.3">
      <c r="A11" s="7" t="s">
        <v>22</v>
      </c>
      <c r="B11" s="42">
        <f>Education!$C$3</f>
        <v>0</v>
      </c>
      <c r="C11" s="43" t="e">
        <f t="shared" si="0"/>
        <v>#DIV/0!</v>
      </c>
      <c r="D11" s="41">
        <f t="shared" si="1"/>
        <v>0</v>
      </c>
      <c r="E11" s="14"/>
      <c r="G11" s="1"/>
      <c r="I11" s="13"/>
      <c r="J11" s="13"/>
      <c r="Q11" s="15"/>
      <c r="R11" s="15"/>
      <c r="S11" s="15"/>
      <c r="T11" s="15"/>
    </row>
    <row r="12" spans="1:20" ht="15.6" x14ac:dyDescent="0.3">
      <c r="A12" s="7" t="s">
        <v>30</v>
      </c>
      <c r="B12" s="42">
        <f>Clothes!$C$3</f>
        <v>0</v>
      </c>
      <c r="C12" s="43" t="e">
        <f>B12/$B$14</f>
        <v>#DIV/0!</v>
      </c>
      <c r="D12" s="41">
        <f t="shared" si="1"/>
        <v>0</v>
      </c>
      <c r="E12" s="14"/>
      <c r="G12" s="1"/>
      <c r="I12" s="13"/>
      <c r="J12" s="13"/>
      <c r="Q12" s="15"/>
      <c r="R12" s="15"/>
      <c r="S12" s="15"/>
      <c r="T12" s="15"/>
    </row>
    <row r="13" spans="1:20" ht="16.2" thickBot="1" x14ac:dyDescent="0.35">
      <c r="A13" s="7" t="s">
        <v>19</v>
      </c>
      <c r="B13" s="44">
        <f>Laundry!C3</f>
        <v>0</v>
      </c>
      <c r="C13" s="45" t="e">
        <f t="shared" si="0"/>
        <v>#DIV/0!</v>
      </c>
      <c r="D13" s="41">
        <f t="shared" si="1"/>
        <v>0</v>
      </c>
      <c r="E13" s="8"/>
      <c r="I13" s="13"/>
      <c r="J13" s="13"/>
      <c r="Q13" s="15"/>
      <c r="R13" s="15"/>
      <c r="S13" s="15"/>
      <c r="T13" s="15"/>
    </row>
    <row r="14" spans="1:20" ht="25.8" thickBot="1" x14ac:dyDescent="0.45">
      <c r="A14" s="3" t="s">
        <v>1</v>
      </c>
      <c r="B14" s="52">
        <f>SUM(B2:B13)</f>
        <v>0</v>
      </c>
      <c r="C14" s="53" t="e">
        <f>SUM(C2:C13)</f>
        <v>#DIV/0!</v>
      </c>
      <c r="D14" s="52">
        <f>SUM(D2:D13)</f>
        <v>0</v>
      </c>
      <c r="Q14" s="15"/>
      <c r="R14" s="15"/>
      <c r="S14" s="15"/>
      <c r="T14" s="15"/>
    </row>
    <row r="15" spans="1:20" x14ac:dyDescent="0.3">
      <c r="Q15" s="15"/>
      <c r="R15" s="15"/>
      <c r="S15" s="15"/>
      <c r="T15" s="15"/>
    </row>
    <row r="16" spans="1:20" ht="21" x14ac:dyDescent="0.4">
      <c r="A16" s="55" t="s">
        <v>13</v>
      </c>
      <c r="B16" s="54">
        <f>MIN(B2:B13)</f>
        <v>0</v>
      </c>
      <c r="Q16" s="15"/>
      <c r="R16" s="15"/>
      <c r="S16" s="15"/>
      <c r="T16" s="15"/>
    </row>
    <row r="17" spans="1:20" ht="21" x14ac:dyDescent="0.4">
      <c r="A17" s="55" t="s">
        <v>14</v>
      </c>
      <c r="B17" s="54">
        <f>MAX(B2:B13)</f>
        <v>0</v>
      </c>
      <c r="Q17" s="15"/>
      <c r="R17" s="15"/>
      <c r="S17" s="15"/>
      <c r="T17" s="15"/>
    </row>
    <row r="18" spans="1:20" ht="21" x14ac:dyDescent="0.4">
      <c r="A18" s="55" t="s">
        <v>15</v>
      </c>
      <c r="B18" s="54">
        <f>AVERAGE(B2:B13)</f>
        <v>0</v>
      </c>
      <c r="Q18" s="15"/>
      <c r="R18" s="15"/>
      <c r="S18" s="15"/>
      <c r="T18" s="15"/>
    </row>
    <row r="19" spans="1:20" ht="15" thickBot="1" x14ac:dyDescent="0.35">
      <c r="Q19" s="15"/>
      <c r="R19" s="15"/>
      <c r="S19" s="15"/>
      <c r="T19" s="15"/>
    </row>
    <row r="20" spans="1:20" ht="25.8" thickBot="1" x14ac:dyDescent="0.35">
      <c r="A20" s="34" t="s">
        <v>2</v>
      </c>
      <c r="B20" s="34" t="s">
        <v>23</v>
      </c>
      <c r="C20" s="34" t="s">
        <v>24</v>
      </c>
      <c r="Q20" s="15"/>
      <c r="R20" s="15"/>
      <c r="S20" s="15"/>
      <c r="T20" s="15"/>
    </row>
    <row r="21" spans="1:20" ht="19.2" thickBot="1" x14ac:dyDescent="0.35">
      <c r="A21" s="38" t="s">
        <v>8</v>
      </c>
      <c r="B21" s="38" t="s">
        <v>7</v>
      </c>
      <c r="C21" s="38">
        <f>INDEX(IF($B$21=$B$1,B1:B11,IF($B$21=$C$1,C1:C11,IF($B$21=$D$1,D1:D11, B1:B11))),MATCH($A$21,A1:A11,0))</f>
        <v>0</v>
      </c>
      <c r="Q21" s="15"/>
      <c r="R21" s="15"/>
      <c r="S21" s="15"/>
      <c r="T21" s="15"/>
    </row>
    <row r="22" spans="1:20" ht="15" thickBot="1" x14ac:dyDescent="0.35">
      <c r="Q22" s="15"/>
      <c r="R22" s="15"/>
      <c r="S22" s="15"/>
      <c r="T22" s="15"/>
    </row>
    <row r="23" spans="1:20" ht="25.8" thickBot="1" x14ac:dyDescent="0.35">
      <c r="A23" s="35" t="s">
        <v>28</v>
      </c>
      <c r="B23" s="35" t="s">
        <v>27</v>
      </c>
      <c r="C23" s="35" t="s">
        <v>33</v>
      </c>
      <c r="D23" s="71"/>
      <c r="E23" s="35" t="s">
        <v>29</v>
      </c>
      <c r="Q23" s="15"/>
      <c r="R23" s="15"/>
      <c r="S23" s="15"/>
    </row>
    <row r="24" spans="1:20" ht="27" customHeight="1" thickBot="1" x14ac:dyDescent="0.35">
      <c r="A24" s="37">
        <v>0</v>
      </c>
      <c r="B24" s="36">
        <v>0</v>
      </c>
      <c r="C24" s="64">
        <f>(A24*B25)+B24</f>
        <v>0</v>
      </c>
      <c r="D24" s="72"/>
      <c r="E24" s="46" t="s">
        <v>32</v>
      </c>
      <c r="Q24" s="15"/>
      <c r="R24" s="15"/>
      <c r="S24" s="15"/>
    </row>
    <row r="25" spans="1:20" ht="25.8" thickBot="1" x14ac:dyDescent="0.35">
      <c r="A25" s="35" t="s">
        <v>31</v>
      </c>
      <c r="B25" s="47">
        <v>5.1999999999999998E-2</v>
      </c>
      <c r="Q25" s="15"/>
      <c r="R25" s="15"/>
      <c r="S25" s="15"/>
    </row>
    <row r="26" spans="1:20" ht="15" thickBot="1" x14ac:dyDescent="0.35">
      <c r="Q26" s="15"/>
      <c r="R26" s="15"/>
      <c r="S26" s="15"/>
    </row>
    <row r="27" spans="1:20" ht="25.8" thickBot="1" x14ac:dyDescent="0.35">
      <c r="A27" s="20" t="s">
        <v>34</v>
      </c>
      <c r="B27" s="3" t="s">
        <v>35</v>
      </c>
    </row>
    <row r="28" spans="1:20" ht="19.2" thickBot="1" x14ac:dyDescent="0.35">
      <c r="A28" s="50">
        <v>44197</v>
      </c>
      <c r="B28" s="51">
        <f ca="1">NOW()-A28</f>
        <v>32.890292592594051</v>
      </c>
      <c r="C28" s="49"/>
    </row>
    <row r="29" spans="1:20" x14ac:dyDescent="0.3">
      <c r="A29" s="48"/>
    </row>
  </sheetData>
  <mergeCells count="1">
    <mergeCell ref="D23:D24"/>
  </mergeCells>
  <conditionalFormatting sqref="C2:C13">
    <cfRule type="cellIs" dxfId="2" priority="5" operator="greaterThan">
      <formula>15</formula>
    </cfRule>
  </conditionalFormatting>
  <conditionalFormatting sqref="C2:C13">
    <cfRule type="cellIs" dxfId="1" priority="4" operator="greaterThan">
      <formula>0.15</formula>
    </cfRule>
  </conditionalFormatting>
  <conditionalFormatting sqref="D2:D13">
    <cfRule type="cellIs" dxfId="0" priority="2" operator="greaterThan">
      <formula>10</formula>
    </cfRule>
  </conditionalFormatting>
  <dataValidations count="2">
    <dataValidation type="list" allowBlank="1" showInputMessage="1" showErrorMessage="1" sqref="A21" xr:uid="{6F445CFE-7252-4BB3-9877-6129101D786F}">
      <formula1>$A$2:$A$11</formula1>
    </dataValidation>
    <dataValidation type="list" allowBlank="1" showInputMessage="1" showErrorMessage="1" sqref="B21" xr:uid="{DBE806C3-BBA2-4F4F-958B-75A9926F6C40}">
      <formula1>$B$1:$D$1</formula1>
    </dataValidation>
  </dataValidations>
  <pageMargins left="0.7" right="0.7" top="0.75" bottom="0.75" header="0.3" footer="0.3"/>
  <pageSetup paperSize="9" scale="79" fitToHeight="0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1" r:id="rId4" name="SpinButton2">
          <controlPr defaultSize="0" autoLine="0" r:id="rId5">
            <anchor moveWithCells="1">
              <from>
                <xdr:col>1</xdr:col>
                <xdr:colOff>2110740</xdr:colOff>
                <xdr:row>23</xdr:row>
                <xdr:rowOff>22860</xdr:rowOff>
              </from>
              <to>
                <xdr:col>2</xdr:col>
                <xdr:colOff>7620</xdr:colOff>
                <xdr:row>24</xdr:row>
                <xdr:rowOff>0</xdr:rowOff>
              </to>
            </anchor>
          </controlPr>
        </control>
      </mc:Choice>
      <mc:Fallback>
        <control shapeId="1031" r:id="rId4" name="SpinButton2"/>
      </mc:Fallback>
    </mc:AlternateContent>
    <mc:AlternateContent xmlns:mc="http://schemas.openxmlformats.org/markup-compatibility/2006">
      <mc:Choice Requires="x14">
        <control shapeId="1030" r:id="rId6" name="SpinButton1">
          <controlPr defaultSize="0" autoLine="0" autoPict="0" r:id="rId7">
            <anchor moveWithCells="1">
              <from>
                <xdr:col>0</xdr:col>
                <xdr:colOff>2209800</xdr:colOff>
                <xdr:row>23</xdr:row>
                <xdr:rowOff>15240</xdr:rowOff>
              </from>
              <to>
                <xdr:col>0</xdr:col>
                <xdr:colOff>2446020</xdr:colOff>
                <xdr:row>24</xdr:row>
                <xdr:rowOff>0</xdr:rowOff>
              </to>
            </anchor>
          </controlPr>
        </control>
      </mc:Choice>
      <mc:Fallback>
        <control shapeId="1030" r:id="rId6" name="Spin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ConvertMacro">
            <anchor moveWithCells="1" sizeWithCells="1">
              <from>
                <xdr:col>3</xdr:col>
                <xdr:colOff>38100</xdr:colOff>
                <xdr:row>22</xdr:row>
                <xdr:rowOff>83820</xdr:rowOff>
              </from>
              <to>
                <xdr:col>3</xdr:col>
                <xdr:colOff>2186940</xdr:colOff>
                <xdr:row>23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OpenExpenseForm">
            <anchor moveWithCells="1" sizeWithCells="1">
              <from>
                <xdr:col>4</xdr:col>
                <xdr:colOff>899160</xdr:colOff>
                <xdr:row>4</xdr:row>
                <xdr:rowOff>38100</xdr:rowOff>
              </from>
              <to>
                <xdr:col>5</xdr:col>
                <xdr:colOff>1386840</xdr:colOff>
                <xdr:row>7</xdr:row>
                <xdr:rowOff>182880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45832-6FB5-43F4-AD44-B4E7345CC554}">
  <sheetPr codeName="Sheet2">
    <tabColor theme="5" tint="-0.249977111117893"/>
  </sheetPr>
  <dimension ref="A1:F34"/>
  <sheetViews>
    <sheetView workbookViewId="0">
      <selection activeCell="B3" sqref="B3"/>
    </sheetView>
  </sheetViews>
  <sheetFormatPr defaultRowHeight="14.4" x14ac:dyDescent="0.3"/>
  <cols>
    <col min="1" max="1" width="33.109375" customWidth="1"/>
    <col min="2" max="2" width="21.5546875" customWidth="1"/>
    <col min="3" max="3" width="22" customWidth="1"/>
    <col min="4" max="4" width="6.109375" customWidth="1"/>
    <col min="5" max="5" width="31.88671875" customWidth="1"/>
  </cols>
  <sheetData>
    <row r="1" spans="1:6" ht="25.8" thickBot="1" x14ac:dyDescent="0.5">
      <c r="A1" s="73" t="s">
        <v>8</v>
      </c>
      <c r="B1" s="74"/>
      <c r="C1" s="4"/>
      <c r="D1" s="4"/>
      <c r="E1" s="23"/>
    </row>
    <row r="2" spans="1:6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6" ht="15" thickBot="1" x14ac:dyDescent="0.35">
      <c r="A3" s="25"/>
      <c r="B3" s="26"/>
      <c r="C3" s="30">
        <f>SUM(B3)</f>
        <v>0</v>
      </c>
      <c r="D3" s="17"/>
      <c r="E3" s="27"/>
      <c r="F3" s="18"/>
    </row>
    <row r="4" spans="1:6" x14ac:dyDescent="0.3">
      <c r="A4" s="19"/>
      <c r="B4" s="1"/>
      <c r="C4" s="24"/>
    </row>
    <row r="5" spans="1:6" x14ac:dyDescent="0.3">
      <c r="A5" s="11"/>
      <c r="B5" s="1"/>
      <c r="C5" s="1"/>
    </row>
    <row r="6" spans="1:6" x14ac:dyDescent="0.3">
      <c r="A6" s="10"/>
      <c r="B6" s="2"/>
    </row>
    <row r="7" spans="1:6" x14ac:dyDescent="0.3">
      <c r="A7" s="10"/>
      <c r="B7" s="2"/>
    </row>
    <row r="8" spans="1:6" x14ac:dyDescent="0.3">
      <c r="A8" s="10"/>
      <c r="B8" s="2"/>
      <c r="C8" s="1"/>
    </row>
    <row r="9" spans="1:6" x14ac:dyDescent="0.3">
      <c r="A9" s="10"/>
      <c r="B9" s="2"/>
    </row>
    <row r="10" spans="1:6" x14ac:dyDescent="0.3">
      <c r="A10" s="10"/>
      <c r="B10" s="2"/>
    </row>
    <row r="11" spans="1:6" x14ac:dyDescent="0.3">
      <c r="A11" s="10"/>
      <c r="B11" s="2"/>
    </row>
    <row r="12" spans="1:6" x14ac:dyDescent="0.3">
      <c r="A12" s="10"/>
      <c r="B12" s="2"/>
    </row>
    <row r="13" spans="1:6" x14ac:dyDescent="0.3">
      <c r="A13" s="10"/>
    </row>
    <row r="14" spans="1:6" x14ac:dyDescent="0.3">
      <c r="A14" s="10"/>
    </row>
    <row r="15" spans="1:6" x14ac:dyDescent="0.3">
      <c r="A15" s="10"/>
    </row>
    <row r="16" spans="1:6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0E64E-3C9D-4993-AED0-E5F6BDA279EB}">
  <sheetPr codeName="Sheet3">
    <tabColor theme="5" tint="-0.249977111117893"/>
  </sheetPr>
  <dimension ref="A1:F32"/>
  <sheetViews>
    <sheetView workbookViewId="0">
      <selection activeCell="B8" sqref="B8"/>
    </sheetView>
  </sheetViews>
  <sheetFormatPr defaultRowHeight="14.4" x14ac:dyDescent="0.3"/>
  <cols>
    <col min="1" max="1" width="32.6640625" customWidth="1"/>
    <col min="2" max="2" width="21.5546875" customWidth="1"/>
    <col min="3" max="3" width="22" customWidth="1"/>
    <col min="4" max="4" width="6.109375" customWidth="1"/>
    <col min="5" max="5" width="31.88671875" customWidth="1"/>
  </cols>
  <sheetData>
    <row r="1" spans="1:6" ht="25.8" thickBot="1" x14ac:dyDescent="0.5">
      <c r="A1" s="73" t="s">
        <v>20</v>
      </c>
      <c r="B1" s="74"/>
      <c r="C1" s="4"/>
      <c r="D1" s="4"/>
      <c r="E1" s="23"/>
    </row>
    <row r="2" spans="1:6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6" ht="15" thickBot="1" x14ac:dyDescent="0.35">
      <c r="A3" s="56"/>
      <c r="B3" s="61"/>
      <c r="C3" s="30">
        <f>SUM(B3:B7)</f>
        <v>0</v>
      </c>
      <c r="D3" s="8"/>
      <c r="E3" s="59"/>
      <c r="F3" s="58"/>
    </row>
    <row r="4" spans="1:6" x14ac:dyDescent="0.3">
      <c r="A4" s="60"/>
      <c r="B4" s="2"/>
      <c r="E4" s="57"/>
    </row>
    <row r="5" spans="1:6" x14ac:dyDescent="0.3">
      <c r="A5" s="10"/>
      <c r="B5" s="2"/>
    </row>
    <row r="6" spans="1:6" x14ac:dyDescent="0.3">
      <c r="A6" s="10"/>
      <c r="B6" s="2"/>
      <c r="C6" s="1"/>
    </row>
    <row r="7" spans="1:6" x14ac:dyDescent="0.3">
      <c r="A7" s="10"/>
      <c r="B7" s="2"/>
    </row>
    <row r="8" spans="1:6" x14ac:dyDescent="0.3">
      <c r="A8" s="10"/>
      <c r="B8" s="2"/>
    </row>
    <row r="9" spans="1:6" x14ac:dyDescent="0.3">
      <c r="A9" s="10"/>
      <c r="B9" s="2"/>
    </row>
    <row r="10" spans="1:6" x14ac:dyDescent="0.3">
      <c r="A10" s="10"/>
      <c r="B10" s="2"/>
    </row>
    <row r="11" spans="1:6" x14ac:dyDescent="0.3">
      <c r="A11" s="10"/>
    </row>
    <row r="12" spans="1:6" x14ac:dyDescent="0.3">
      <c r="A12" s="10"/>
    </row>
    <row r="13" spans="1:6" x14ac:dyDescent="0.3">
      <c r="A13" s="10"/>
    </row>
    <row r="14" spans="1:6" x14ac:dyDescent="0.3">
      <c r="A14" s="10"/>
    </row>
    <row r="15" spans="1:6" x14ac:dyDescent="0.3">
      <c r="A15" s="10"/>
    </row>
    <row r="16" spans="1:6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62789-7702-4FED-8F1E-03C65C27265A}">
  <sheetPr codeName="Sheet4">
    <tabColor theme="5" tint="-0.249977111117893"/>
  </sheetPr>
  <dimension ref="A1:I6"/>
  <sheetViews>
    <sheetView workbookViewId="0">
      <selection activeCell="E12" sqref="E12"/>
    </sheetView>
  </sheetViews>
  <sheetFormatPr defaultRowHeight="14.4" x14ac:dyDescent="0.3"/>
  <cols>
    <col min="1" max="1" width="26.5546875" customWidth="1"/>
    <col min="2" max="2" width="27.33203125" customWidth="1"/>
    <col min="3" max="3" width="17" customWidth="1"/>
    <col min="4" max="4" width="5.77734375" customWidth="1"/>
    <col min="5" max="5" width="28.44140625" customWidth="1"/>
    <col min="6" max="6" width="13.6640625" customWidth="1"/>
  </cols>
  <sheetData>
    <row r="1" spans="1:9" ht="25.8" thickBot="1" x14ac:dyDescent="0.5">
      <c r="A1" s="73" t="s">
        <v>26</v>
      </c>
      <c r="B1" s="74"/>
      <c r="C1" s="4"/>
      <c r="D1" s="4"/>
      <c r="E1" s="23"/>
      <c r="F1" s="23"/>
      <c r="G1" s="2"/>
      <c r="H1" s="2"/>
      <c r="I1" s="2"/>
    </row>
    <row r="2" spans="1:9" ht="16.2" thickBot="1" x14ac:dyDescent="0.35">
      <c r="A2" s="67" t="s">
        <v>6</v>
      </c>
      <c r="B2" s="68" t="s">
        <v>7</v>
      </c>
      <c r="C2" s="6" t="s">
        <v>1</v>
      </c>
      <c r="E2" s="68" t="s">
        <v>9</v>
      </c>
      <c r="F2" s="2"/>
      <c r="G2" s="2"/>
      <c r="H2" s="2"/>
      <c r="I2" s="2"/>
    </row>
    <row r="3" spans="1:9" ht="15" thickBot="1" x14ac:dyDescent="0.35">
      <c r="A3" s="69"/>
      <c r="B3" s="65"/>
      <c r="C3" s="70"/>
      <c r="D3" s="8"/>
      <c r="E3" s="66"/>
      <c r="F3" s="2"/>
      <c r="G3" s="2"/>
      <c r="H3" s="2"/>
      <c r="I3" s="2"/>
    </row>
    <row r="4" spans="1:9" x14ac:dyDescent="0.3">
      <c r="A4" s="2"/>
      <c r="B4" s="28"/>
      <c r="C4" s="2"/>
      <c r="D4" s="2"/>
      <c r="E4" s="2"/>
      <c r="F4" s="2"/>
      <c r="G4" s="2"/>
      <c r="H4" s="2"/>
      <c r="I4" s="2"/>
    </row>
    <row r="5" spans="1:9" x14ac:dyDescent="0.3">
      <c r="A5" s="2"/>
      <c r="B5" s="28"/>
      <c r="C5" s="2"/>
      <c r="D5" s="2"/>
      <c r="E5" s="2"/>
      <c r="F5" s="2"/>
      <c r="G5" s="2"/>
      <c r="H5" s="2"/>
      <c r="I5" s="2"/>
    </row>
    <row r="6" spans="1:9" x14ac:dyDescent="0.3">
      <c r="B6" s="10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36E0-52B9-4F5B-ABF0-0D4218F78D07}">
  <sheetPr codeName="Sheet5">
    <tabColor theme="5" tint="-0.249977111117893"/>
  </sheetPr>
  <dimension ref="A1:F3"/>
  <sheetViews>
    <sheetView workbookViewId="0">
      <selection activeCell="J18" sqref="J18"/>
    </sheetView>
  </sheetViews>
  <sheetFormatPr defaultRowHeight="14.4" x14ac:dyDescent="0.3"/>
  <cols>
    <col min="1" max="1" width="21.6640625" customWidth="1"/>
    <col min="2" max="2" width="27.44140625" customWidth="1"/>
    <col min="3" max="3" width="16" customWidth="1"/>
    <col min="4" max="4" width="3.6640625" customWidth="1"/>
    <col min="5" max="5" width="18.88671875" customWidth="1"/>
    <col min="6" max="6" width="8.77734375" customWidth="1"/>
  </cols>
  <sheetData>
    <row r="1" spans="1:6" ht="25.8" thickBot="1" x14ac:dyDescent="0.5">
      <c r="A1" s="73" t="s">
        <v>12</v>
      </c>
      <c r="B1" s="74"/>
      <c r="C1" s="4"/>
      <c r="D1" s="4"/>
      <c r="E1" s="23"/>
      <c r="F1" s="23"/>
    </row>
    <row r="2" spans="1:6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6" ht="15" thickBot="1" x14ac:dyDescent="0.35">
      <c r="A3" s="25"/>
      <c r="B3" s="26"/>
      <c r="C3" s="30">
        <f>SUM(B3)</f>
        <v>0</v>
      </c>
      <c r="D3" s="17"/>
      <c r="E3" s="27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82EBB-FF7A-41A2-926D-F64E22CD8AE9}">
  <sheetPr codeName="Sheet6">
    <tabColor theme="5" tint="-0.249977111117893"/>
  </sheetPr>
  <dimension ref="A1:G4"/>
  <sheetViews>
    <sheetView workbookViewId="0">
      <selection activeCell="C4" sqref="C4"/>
    </sheetView>
  </sheetViews>
  <sheetFormatPr defaultRowHeight="14.4" x14ac:dyDescent="0.3"/>
  <cols>
    <col min="1" max="1" width="23.88671875" customWidth="1"/>
    <col min="2" max="2" width="26.21875" customWidth="1"/>
    <col min="3" max="3" width="17.21875" customWidth="1"/>
    <col min="4" max="4" width="5.88671875" customWidth="1"/>
    <col min="5" max="5" width="20.5546875" customWidth="1"/>
    <col min="6" max="6" width="11.44140625" customWidth="1"/>
  </cols>
  <sheetData>
    <row r="1" spans="1:7" ht="25.8" thickBot="1" x14ac:dyDescent="0.5">
      <c r="A1" s="75" t="s">
        <v>10</v>
      </c>
      <c r="B1" s="76"/>
      <c r="C1" s="4"/>
      <c r="D1" s="4"/>
      <c r="E1" s="23"/>
      <c r="F1" s="9"/>
      <c r="G1" s="1"/>
    </row>
    <row r="2" spans="1:7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7" ht="15" thickBot="1" x14ac:dyDescent="0.35">
      <c r="A3" s="25"/>
      <c r="B3" s="26"/>
      <c r="C3" s="30">
        <f>SUM(B3)</f>
        <v>0</v>
      </c>
      <c r="D3" s="17"/>
      <c r="E3" s="27"/>
    </row>
    <row r="4" spans="1:7" x14ac:dyDescent="0.3">
      <c r="A4" s="1"/>
      <c r="B4" s="31"/>
      <c r="C4" s="24"/>
      <c r="D4" s="1"/>
      <c r="E4" s="16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23A5-0E54-426A-B517-B666FB2C3731}">
  <sheetPr codeName="Sheet7">
    <tabColor theme="5" tint="-0.249977111117893"/>
  </sheetPr>
  <dimension ref="A1:G8"/>
  <sheetViews>
    <sheetView workbookViewId="0">
      <selection activeCell="I8" sqref="I8"/>
    </sheetView>
  </sheetViews>
  <sheetFormatPr defaultRowHeight="14.4" x14ac:dyDescent="0.3"/>
  <cols>
    <col min="1" max="1" width="25.21875" customWidth="1"/>
    <col min="2" max="2" width="24.109375" customWidth="1"/>
    <col min="3" max="3" width="16.77734375" customWidth="1"/>
    <col min="4" max="4" width="5.88671875" customWidth="1"/>
    <col min="5" max="5" width="24.77734375" customWidth="1"/>
    <col min="6" max="6" width="12" customWidth="1"/>
  </cols>
  <sheetData>
    <row r="1" spans="1:7" ht="25.8" thickBot="1" x14ac:dyDescent="0.5">
      <c r="A1" s="75" t="s">
        <v>5</v>
      </c>
      <c r="B1" s="76"/>
      <c r="C1" s="4"/>
      <c r="D1" s="4"/>
      <c r="E1" s="32"/>
      <c r="F1" s="9"/>
      <c r="G1" s="1"/>
    </row>
    <row r="2" spans="1:7" ht="16.2" thickBot="1" x14ac:dyDescent="0.35">
      <c r="A2" s="67" t="s">
        <v>6</v>
      </c>
      <c r="B2" s="68" t="s">
        <v>7</v>
      </c>
      <c r="C2" s="6" t="s">
        <v>1</v>
      </c>
      <c r="E2" s="68" t="s">
        <v>9</v>
      </c>
    </row>
    <row r="3" spans="1:7" ht="15" thickBot="1" x14ac:dyDescent="0.35">
      <c r="A3" s="69"/>
      <c r="B3" s="65"/>
      <c r="C3" s="70">
        <f>SUM(B3:B4)</f>
        <v>0</v>
      </c>
      <c r="D3" s="8"/>
      <c r="E3" s="66"/>
      <c r="F3" s="1"/>
    </row>
    <row r="5" spans="1:7" x14ac:dyDescent="0.3">
      <c r="A5" s="1"/>
      <c r="B5" s="1"/>
      <c r="C5" s="1"/>
    </row>
    <row r="7" spans="1:7" x14ac:dyDescent="0.3">
      <c r="B7" s="1"/>
    </row>
    <row r="8" spans="1:7" x14ac:dyDescent="0.3">
      <c r="B8" s="1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79E9-1C23-4109-A955-FE2ED63BA8F8}">
  <sheetPr codeName="Sheet8">
    <tabColor theme="5" tint="-0.249977111117893"/>
  </sheetPr>
  <dimension ref="A1:G4"/>
  <sheetViews>
    <sheetView workbookViewId="0">
      <selection activeCell="E28" sqref="E28"/>
    </sheetView>
  </sheetViews>
  <sheetFormatPr defaultRowHeight="14.4" x14ac:dyDescent="0.3"/>
  <cols>
    <col min="1" max="1" width="24.21875" customWidth="1"/>
    <col min="2" max="2" width="25.109375" customWidth="1"/>
    <col min="3" max="3" width="14.5546875" customWidth="1"/>
    <col min="4" max="4" width="7.44140625" customWidth="1"/>
    <col min="5" max="5" width="21.33203125" customWidth="1"/>
    <col min="6" max="6" width="17.6640625" customWidth="1"/>
  </cols>
  <sheetData>
    <row r="1" spans="1:7" ht="25.8" thickBot="1" x14ac:dyDescent="0.5">
      <c r="A1" s="75" t="s">
        <v>17</v>
      </c>
      <c r="B1" s="76"/>
      <c r="C1" s="4"/>
      <c r="D1" s="4"/>
      <c r="E1" s="32"/>
      <c r="F1" s="33"/>
      <c r="G1" s="1"/>
    </row>
    <row r="2" spans="1:7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  <c r="F2" s="8"/>
    </row>
    <row r="3" spans="1:7" ht="15" thickBot="1" x14ac:dyDescent="0.35">
      <c r="A3" s="25"/>
      <c r="B3" s="26"/>
      <c r="C3" s="30">
        <f>SUM(B3)</f>
        <v>0</v>
      </c>
      <c r="D3" s="17"/>
      <c r="E3" s="27"/>
    </row>
    <row r="4" spans="1:7" x14ac:dyDescent="0.3">
      <c r="A4" s="1"/>
      <c r="B4" s="31"/>
      <c r="C4" s="24"/>
      <c r="D4" s="1"/>
      <c r="E4" s="16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8A8B-73B7-4247-8883-7011768C6E88}">
  <sheetPr codeName="Sheet9">
    <tabColor theme="5" tint="-0.249977111117893"/>
  </sheetPr>
  <dimension ref="A1:G21"/>
  <sheetViews>
    <sheetView workbookViewId="0">
      <selection activeCell="C4" sqref="C4"/>
    </sheetView>
  </sheetViews>
  <sheetFormatPr defaultRowHeight="14.4" x14ac:dyDescent="0.3"/>
  <cols>
    <col min="1" max="1" width="27.44140625" customWidth="1"/>
    <col min="2" max="2" width="24.44140625" customWidth="1"/>
    <col min="3" max="3" width="20" customWidth="1"/>
    <col min="4" max="4" width="6.33203125" customWidth="1"/>
    <col min="5" max="5" width="20.88671875" customWidth="1"/>
    <col min="6" max="6" width="15" customWidth="1"/>
  </cols>
  <sheetData>
    <row r="1" spans="1:7" ht="25.8" thickBot="1" x14ac:dyDescent="0.5">
      <c r="A1" s="75" t="s">
        <v>21</v>
      </c>
      <c r="B1" s="76"/>
      <c r="C1" s="4"/>
      <c r="D1" s="4"/>
      <c r="E1" s="32"/>
      <c r="F1" s="33"/>
      <c r="G1" s="1"/>
    </row>
    <row r="2" spans="1:7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  <c r="F2" s="8"/>
    </row>
    <row r="3" spans="1:7" ht="15" thickBot="1" x14ac:dyDescent="0.35">
      <c r="A3" s="25"/>
      <c r="B3" s="26"/>
      <c r="C3" s="30">
        <f>SUM(B3)</f>
        <v>0</v>
      </c>
      <c r="D3" s="17"/>
      <c r="E3" s="27"/>
    </row>
    <row r="4" spans="1:7" x14ac:dyDescent="0.3">
      <c r="A4" s="1"/>
      <c r="B4" s="31"/>
      <c r="C4" s="24"/>
      <c r="D4" s="1"/>
    </row>
    <row r="5" spans="1:7" x14ac:dyDescent="0.3">
      <c r="B5" s="10"/>
    </row>
    <row r="6" spans="1:7" x14ac:dyDescent="0.3">
      <c r="B6" s="10"/>
    </row>
    <row r="7" spans="1:7" x14ac:dyDescent="0.3">
      <c r="B7" s="10"/>
    </row>
    <row r="8" spans="1:7" x14ac:dyDescent="0.3">
      <c r="B8" s="10"/>
    </row>
    <row r="9" spans="1:7" x14ac:dyDescent="0.3">
      <c r="B9" s="10"/>
    </row>
    <row r="10" spans="1:7" x14ac:dyDescent="0.3">
      <c r="B10" s="10"/>
    </row>
    <row r="11" spans="1:7" x14ac:dyDescent="0.3">
      <c r="B11" s="10"/>
    </row>
    <row r="12" spans="1:7" x14ac:dyDescent="0.3">
      <c r="B12" s="10"/>
    </row>
    <row r="13" spans="1:7" x14ac:dyDescent="0.3">
      <c r="B13" s="10"/>
    </row>
    <row r="14" spans="1:7" x14ac:dyDescent="0.3">
      <c r="B14" s="10"/>
    </row>
    <row r="15" spans="1:7" x14ac:dyDescent="0.3">
      <c r="B15" s="10"/>
    </row>
    <row r="16" spans="1:7" x14ac:dyDescent="0.3">
      <c r="B16" s="10"/>
    </row>
    <row r="17" spans="2:2" x14ac:dyDescent="0.3">
      <c r="B17" s="10"/>
    </row>
    <row r="18" spans="2:2" x14ac:dyDescent="0.3">
      <c r="B18" s="10"/>
    </row>
    <row r="19" spans="2:2" x14ac:dyDescent="0.3">
      <c r="B19" s="10"/>
    </row>
    <row r="20" spans="2:2" x14ac:dyDescent="0.3">
      <c r="B20" s="10"/>
    </row>
    <row r="21" spans="2:2" x14ac:dyDescent="0.3">
      <c r="B21" s="10"/>
    </row>
  </sheetData>
  <mergeCells count="1">
    <mergeCell ref="A1:B1"/>
  </mergeCells>
  <phoneticPr fontId="1" type="noConversion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D725A-1F73-4E70-8F4C-BEEC58BCFCCA}">
  <sheetPr codeName="Sheet10">
    <tabColor theme="5" tint="-0.249977111117893"/>
  </sheetPr>
  <dimension ref="A1:H16"/>
  <sheetViews>
    <sheetView workbookViewId="0">
      <selection activeCell="H10" sqref="H10"/>
    </sheetView>
  </sheetViews>
  <sheetFormatPr defaultRowHeight="14.4" x14ac:dyDescent="0.3"/>
  <cols>
    <col min="1" max="1" width="24.5546875" customWidth="1"/>
    <col min="2" max="2" width="28.44140625" customWidth="1"/>
    <col min="3" max="3" width="21.33203125" customWidth="1"/>
    <col min="4" max="4" width="5.88671875" customWidth="1"/>
    <col min="5" max="5" width="22.77734375" customWidth="1"/>
    <col min="7" max="7" width="12.77734375" customWidth="1"/>
  </cols>
  <sheetData>
    <row r="1" spans="1:8" ht="25.8" thickBot="1" x14ac:dyDescent="0.5">
      <c r="A1" s="75" t="s">
        <v>4</v>
      </c>
      <c r="B1" s="76"/>
      <c r="C1" s="4"/>
      <c r="D1" s="4"/>
      <c r="E1" s="32"/>
      <c r="F1" s="77"/>
      <c r="G1" s="77"/>
    </row>
    <row r="2" spans="1:8" ht="16.2" thickBot="1" x14ac:dyDescent="0.35">
      <c r="A2" s="67" t="s">
        <v>6</v>
      </c>
      <c r="B2" s="68" t="s">
        <v>7</v>
      </c>
      <c r="C2" s="6" t="s">
        <v>1</v>
      </c>
      <c r="E2" s="68" t="s">
        <v>9</v>
      </c>
      <c r="F2" s="2"/>
      <c r="G2" s="2"/>
    </row>
    <row r="3" spans="1:8" ht="15" thickBot="1" x14ac:dyDescent="0.35">
      <c r="A3" s="69"/>
      <c r="B3" s="65"/>
      <c r="C3" s="70"/>
      <c r="D3" s="8"/>
      <c r="E3" s="66"/>
      <c r="F3" s="78"/>
      <c r="G3" s="78"/>
      <c r="H3" s="1"/>
    </row>
    <row r="4" spans="1:8" x14ac:dyDescent="0.3">
      <c r="C4" s="62"/>
      <c r="D4" s="2"/>
      <c r="G4" s="2"/>
    </row>
    <row r="13" spans="1:8" x14ac:dyDescent="0.3">
      <c r="A13" s="63"/>
    </row>
    <row r="14" spans="1:8" x14ac:dyDescent="0.3">
      <c r="A14" s="63"/>
    </row>
    <row r="15" spans="1:8" x14ac:dyDescent="0.3">
      <c r="A15" s="63"/>
    </row>
    <row r="16" spans="1:8" x14ac:dyDescent="0.3">
      <c r="A16" s="63"/>
    </row>
  </sheetData>
  <mergeCells count="3">
    <mergeCell ref="A1:B1"/>
    <mergeCell ref="F1:G1"/>
    <mergeCell ref="F3:G3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824FB-8C08-4CC4-83A5-0D909C318BE2}">
  <sheetPr codeName="Sheet11">
    <tabColor theme="5" tint="-0.249977111117893"/>
  </sheetPr>
  <dimension ref="A1:E6"/>
  <sheetViews>
    <sheetView workbookViewId="0">
      <selection activeCell="E9" sqref="E9"/>
    </sheetView>
  </sheetViews>
  <sheetFormatPr defaultRowHeight="14.4" x14ac:dyDescent="0.3"/>
  <cols>
    <col min="1" max="1" width="29.44140625" customWidth="1"/>
    <col min="2" max="2" width="12.109375" customWidth="1"/>
    <col min="3" max="3" width="11.6640625" customWidth="1"/>
    <col min="4" max="4" width="4.33203125" customWidth="1"/>
    <col min="5" max="5" width="23" customWidth="1"/>
  </cols>
  <sheetData>
    <row r="1" spans="1:5" ht="25.8" thickBot="1" x14ac:dyDescent="0.5">
      <c r="A1" s="75" t="s">
        <v>19</v>
      </c>
      <c r="B1" s="76"/>
      <c r="C1" s="4"/>
      <c r="D1" s="4"/>
      <c r="E1" s="32"/>
    </row>
    <row r="2" spans="1:5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5" ht="15" thickBot="1" x14ac:dyDescent="0.35">
      <c r="A3" s="25"/>
      <c r="B3" s="26"/>
      <c r="C3" s="30">
        <f>SUM(B3)</f>
        <v>0</v>
      </c>
      <c r="D3" s="17"/>
      <c r="E3" s="27"/>
    </row>
    <row r="4" spans="1:5" x14ac:dyDescent="0.3">
      <c r="A4" s="2"/>
      <c r="B4" s="28"/>
      <c r="C4" s="2"/>
      <c r="D4" s="2"/>
      <c r="E4" s="2"/>
    </row>
    <row r="5" spans="1:5" x14ac:dyDescent="0.3">
      <c r="A5" s="2"/>
      <c r="B5" s="2"/>
      <c r="C5" s="2"/>
      <c r="D5" s="2"/>
      <c r="E5" s="2"/>
    </row>
    <row r="6" spans="1:5" x14ac:dyDescent="0.3">
      <c r="A6" s="2"/>
      <c r="B6" s="2"/>
      <c r="C6" s="2"/>
      <c r="D6" s="2"/>
      <c r="E6" s="2"/>
    </row>
  </sheetData>
  <mergeCells count="1">
    <mergeCell ref="A1:B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EE2A7-FB96-4E13-8079-C22200A906EC}">
  <sheetPr codeName="Sheet12">
    <tabColor theme="5" tint="-0.249977111117893"/>
  </sheetPr>
  <dimension ref="A1:F5"/>
  <sheetViews>
    <sheetView zoomScaleNormal="100" workbookViewId="0">
      <selection activeCell="A2" sqref="A2"/>
    </sheetView>
  </sheetViews>
  <sheetFormatPr defaultRowHeight="14.4" x14ac:dyDescent="0.3"/>
  <cols>
    <col min="1" max="1" width="25.88671875" customWidth="1"/>
    <col min="2" max="2" width="23.21875" customWidth="1"/>
    <col min="3" max="3" width="17.21875" customWidth="1"/>
    <col min="4" max="4" width="5.44140625" customWidth="1"/>
    <col min="5" max="5" width="21.44140625" customWidth="1"/>
    <col min="6" max="6" width="12.77734375" customWidth="1"/>
  </cols>
  <sheetData>
    <row r="1" spans="1:6" ht="30.6" customHeight="1" thickBot="1" x14ac:dyDescent="0.5">
      <c r="A1" s="75" t="s">
        <v>22</v>
      </c>
      <c r="B1" s="76"/>
      <c r="C1" s="4"/>
      <c r="D1" s="4"/>
      <c r="E1" s="23"/>
      <c r="F1" s="23"/>
    </row>
    <row r="2" spans="1:6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  <c r="F2" s="2"/>
    </row>
    <row r="3" spans="1:6" ht="15" thickBot="1" x14ac:dyDescent="0.35">
      <c r="A3" s="25"/>
      <c r="B3" s="26"/>
      <c r="C3" s="30">
        <f>SUM(B3)</f>
        <v>0</v>
      </c>
      <c r="D3" s="17"/>
      <c r="E3" s="27"/>
      <c r="F3" s="2"/>
    </row>
    <row r="4" spans="1:6" x14ac:dyDescent="0.3">
      <c r="A4" s="2"/>
      <c r="B4" s="28"/>
      <c r="C4" s="2"/>
      <c r="D4" s="2"/>
      <c r="E4" s="2"/>
      <c r="F4" s="2"/>
    </row>
    <row r="5" spans="1:6" x14ac:dyDescent="0.3">
      <c r="A5" s="2"/>
      <c r="B5" s="29"/>
      <c r="C5" s="2"/>
      <c r="D5" s="2"/>
      <c r="E5" s="2"/>
      <c r="F5" s="2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D8A5A-4A9F-4E57-922B-6BE759DFAF82}">
  <sheetPr codeName="Sheet13">
    <tabColor theme="5" tint="-0.249977111117893"/>
  </sheetPr>
  <dimension ref="A1:F34"/>
  <sheetViews>
    <sheetView workbookViewId="0">
      <selection activeCell="A3" sqref="A3"/>
    </sheetView>
  </sheetViews>
  <sheetFormatPr defaultRowHeight="14.4" x14ac:dyDescent="0.3"/>
  <cols>
    <col min="1" max="1" width="26.21875" customWidth="1"/>
    <col min="2" max="2" width="21.5546875" customWidth="1"/>
    <col min="3" max="3" width="22" customWidth="1"/>
    <col min="4" max="4" width="6.109375" customWidth="1"/>
    <col min="5" max="5" width="31.88671875" customWidth="1"/>
  </cols>
  <sheetData>
    <row r="1" spans="1:6" ht="25.8" thickBot="1" x14ac:dyDescent="0.5">
      <c r="A1" s="79" t="s">
        <v>30</v>
      </c>
      <c r="B1" s="74"/>
      <c r="C1" s="4"/>
      <c r="D1" s="4"/>
      <c r="E1" s="23"/>
    </row>
    <row r="2" spans="1:6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6" ht="15" thickBot="1" x14ac:dyDescent="0.35">
      <c r="A3" s="25"/>
      <c r="B3" s="26"/>
      <c r="C3" s="30">
        <f>SUM(B3)</f>
        <v>0</v>
      </c>
      <c r="D3" s="17"/>
      <c r="E3" s="27"/>
      <c r="F3" s="18"/>
    </row>
    <row r="4" spans="1:6" x14ac:dyDescent="0.3">
      <c r="A4" s="19"/>
      <c r="B4" s="1"/>
      <c r="C4" s="24"/>
    </row>
    <row r="5" spans="1:6" x14ac:dyDescent="0.3">
      <c r="A5" s="11"/>
      <c r="B5" s="1"/>
      <c r="C5" s="1"/>
    </row>
    <row r="6" spans="1:6" x14ac:dyDescent="0.3">
      <c r="A6" s="10"/>
      <c r="B6" s="2"/>
    </row>
    <row r="7" spans="1:6" x14ac:dyDescent="0.3">
      <c r="A7" s="10"/>
      <c r="B7" s="2"/>
    </row>
    <row r="8" spans="1:6" x14ac:dyDescent="0.3">
      <c r="A8" s="10"/>
      <c r="B8" s="2"/>
      <c r="C8" s="1"/>
    </row>
    <row r="9" spans="1:6" x14ac:dyDescent="0.3">
      <c r="A9" s="10"/>
      <c r="B9" s="2"/>
    </row>
    <row r="10" spans="1:6" x14ac:dyDescent="0.3">
      <c r="A10" s="10"/>
      <c r="B10" s="2"/>
    </row>
    <row r="11" spans="1:6" x14ac:dyDescent="0.3">
      <c r="A11" s="10"/>
      <c r="B11" s="2"/>
    </row>
    <row r="12" spans="1:6" x14ac:dyDescent="0.3">
      <c r="A12" s="10"/>
      <c r="B12" s="2"/>
    </row>
    <row r="13" spans="1:6" x14ac:dyDescent="0.3">
      <c r="A13" s="10"/>
    </row>
    <row r="14" spans="1:6" x14ac:dyDescent="0.3">
      <c r="A14" s="10"/>
    </row>
    <row r="15" spans="1:6" x14ac:dyDescent="0.3">
      <c r="A15" s="10"/>
    </row>
    <row r="16" spans="1:6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Main</vt:lpstr>
      <vt:lpstr>Accomodation</vt:lpstr>
      <vt:lpstr>Food</vt:lpstr>
      <vt:lpstr>Consumables</vt:lpstr>
      <vt:lpstr>Banking</vt:lpstr>
      <vt:lpstr>Phone and Data</vt:lpstr>
      <vt:lpstr>Transport</vt:lpstr>
      <vt:lpstr>Entertainment</vt:lpstr>
      <vt:lpstr>Admin &amp; Uni</vt:lpstr>
      <vt:lpstr>Toiletries</vt:lpstr>
      <vt:lpstr>Laundry</vt:lpstr>
      <vt:lpstr>Education</vt:lpstr>
      <vt:lpstr>Clothes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 Coetsee</dc:creator>
  <cp:lastModifiedBy>Jaco Coetsee</cp:lastModifiedBy>
  <cp:lastPrinted>2020-09-29T09:18:39Z</cp:lastPrinted>
  <dcterms:created xsi:type="dcterms:W3CDTF">2020-01-25T14:52:27Z</dcterms:created>
  <dcterms:modified xsi:type="dcterms:W3CDTF">2021-02-02T19:22:06Z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7e8c2d8b-def1-4c6c-9964-116d88dd89b0</vt:lpwstr>
  </property>
</Properties>
</file>